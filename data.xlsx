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4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<sst xmlns="http://schemas.openxmlformats.org/spreadsheetml/2006/main" count="177" uniqueCount="146">
  <si>
    <t>危险源</t>
  </si>
  <si>
    <t>电池工厂</t>
  </si>
  <si>
    <t>可能后果</t>
  </si>
  <si>
    <t>D值</t>
  </si>
  <si>
    <t>危险等级</t>
  </si>
  <si>
    <t>控制措施</t>
  </si>
  <si>
    <t>L</t>
  </si>
  <si>
    <t>E</t>
  </si>
  <si>
    <t>C</t>
  </si>
  <si>
    <t>叉车等特种设备没有划线进行作业</t>
  </si>
  <si>
    <t>配料车间</t>
  </si>
  <si>
    <t>碰撞到原料或工作人员</t>
  </si>
  <si>
    <t>提前对叉车等特种设备的工作区域进行划线</t>
  </si>
  <si>
    <t>搅拌器旋转产生静电</t>
  </si>
  <si>
    <t>遇火产生爆炸</t>
  </si>
  <si>
    <t>明确禁火，对会产生静电设备进行接地处理并适当增加环境湿度</t>
  </si>
  <si>
    <t>材料粉尘在投卸料口泄露</t>
  </si>
  <si>
    <t>释放剧毒气体和可燃粉尘</t>
  </si>
  <si>
    <t>对投卸口采用气体浓度检测系统</t>
  </si>
  <si>
    <t>管道、罐体等设备表面温度偏高</t>
  </si>
  <si>
    <t>工人触碰引发烫伤</t>
  </si>
  <si>
    <t>使用虎纹线对设备周围进行划线处理，标明安全区域</t>
  </si>
  <si>
    <t>涂布机烘箱 NMP 溶剂泄漏，通风不良，引发中毒</t>
  </si>
  <si>
    <t>涂布车间</t>
  </si>
  <si>
    <t>蒸气积聚达到爆炸极限遇明火发生燃爆</t>
  </si>
  <si>
    <t>设置 NMP 气体浓度检测与报警装置</t>
  </si>
  <si>
    <t>极片裁切、烘干过程产生可燃粉尘堆积，设备摩擦、静电产生火花</t>
  </si>
  <si>
    <t>粉尘被引燃导致局部火灾，严重时形成粉尘云爆炸</t>
  </si>
  <si>
    <t>安装静电消除器、防爆电气设备</t>
  </si>
  <si>
    <t>烘箱温度控制系统失灵，温度持续超高，浆料过热</t>
  </si>
  <si>
    <t>浆料受热分解、自燃，引发烘箱火灾</t>
  </si>
  <si>
    <t>安装温度传感器、超温报警与自动停机联锁</t>
  </si>
  <si>
    <t>极片高速运行时断裂、跑偏，操作人员伸手清理卷入设备</t>
  </si>
  <si>
    <t>手指、手臂被卷入挤压、切割，造成骨折、截肢等严重机械伤害</t>
  </si>
  <si>
    <t>设备加装安全防护罩、急停按钮</t>
  </si>
  <si>
    <t>辊压机辊缝狭小，人员违规伸手清理极片</t>
  </si>
  <si>
    <t>辊压车间</t>
  </si>
  <si>
    <t>手指、手掌被碾压，造成粉碎性骨折、截肢</t>
  </si>
  <si>
    <t>加装安全防护罩、安全光栅；设置开盖停机联锁</t>
  </si>
  <si>
    <t>极片跑偏、褶皱，导致设备卡料剧烈振动</t>
  </si>
  <si>
    <t>设备损坏、极片断裂飞溅伤人</t>
  </si>
  <si>
    <t>自动纠偏系统；定期巡检张力控制；规范上料对中</t>
  </si>
  <si>
    <t>辊压产生粉尘堆积，静电放电</t>
  </si>
  <si>
    <t>粉尘引燃起火，扩大为车间火灾</t>
  </si>
  <si>
    <t>负压除尘；设备接地；及时清理粉尘；禁止明火</t>
  </si>
  <si>
    <t>传动皮带、齿轮无防护</t>
  </si>
  <si>
    <t>衣物、手套卷入，造成手臂拉伤、挤压伤</t>
  </si>
  <si>
    <t>全封闭防护罩；急停按钮；定期维护传动机构</t>
  </si>
  <si>
    <t>高速圆刀无防护，人员靠近操作</t>
  </si>
  <si>
    <t>分切车间</t>
  </si>
  <si>
    <t>手指被切割、划伤，严重时断指</t>
  </si>
  <si>
    <t>刀具防护罩、安全光栅；禁止开机时调整刀具</t>
  </si>
  <si>
    <t>分切极片毛刺多、边缘锋利</t>
  </si>
  <si>
    <t>搬运、取放时割伤手部</t>
  </si>
  <si>
    <t>优化刀具锋利度；佩戴防割手套；轻拿轻放</t>
  </si>
  <si>
    <t>收卷张力过大导致极片崩断回弹</t>
  </si>
  <si>
    <t>极片抽打伤人，设备冲击损坏</t>
  </si>
  <si>
    <t>自动张力控制；设置合理收卷参数；异常自动停机</t>
  </si>
  <si>
    <t>粉尘积聚 + 静电，遇点火源</t>
  </si>
  <si>
    <t>局部火灾，蔓延至周边极片料架</t>
  </si>
  <si>
    <t>除尘系统；接地除静电；严禁动火</t>
  </si>
  <si>
    <t>正负极极片错位、隔膜偏移</t>
  </si>
  <si>
    <t>叠片车间</t>
  </si>
  <si>
    <t>电芯内部微短路，后续化成起火、爆炸</t>
  </si>
  <si>
    <t>视觉定位纠偏；CCD 在线监测；不合格品隔离</t>
  </si>
  <si>
    <t>叠片机械手夹伤、挤压</t>
  </si>
  <si>
    <t>手指挤压伤、骨折</t>
  </si>
  <si>
    <t>安全围栏；安全门联锁；自动模式禁止伸手</t>
  </si>
  <si>
    <t>极片粉尘、金属屑落入电芯</t>
  </si>
  <si>
    <t>内部刺穿隔膜，引发热失控、起火</t>
  </si>
  <si>
    <t>万级 / 千级洁净车间；穿戴无尘服；定时清洁</t>
  </si>
  <si>
    <t>叠片后电芯摆放混乱、挤压碰撞</t>
  </si>
  <si>
    <t>外壳变形、内部短路，后续使用起火</t>
  </si>
  <si>
    <t>专用料盒有序存放；轻拿轻放；禁止抛扔、堆叠挤压</t>
  </si>
  <si>
    <t>电芯壳体、盖板装配时挤压、磕碰</t>
  </si>
  <si>
    <t>装配车间</t>
  </si>
  <si>
    <t>壳体变形、隔膜破损，引发内部微短路，后期起火爆炸</t>
  </si>
  <si>
    <t>轻拿轻放；使用专用工装；禁止野蛮敲击；外观全检</t>
  </si>
  <si>
    <t>极耳焊接虚焊、毛刺、焊渣</t>
  </si>
  <si>
    <t>接触不良发热、内部短路，电芯热失控起火</t>
  </si>
  <si>
    <t>自动焊接 + CCD 检测；焊后去毛刺；加强首件巡检</t>
  </si>
  <si>
    <t>操作人员违规将金属工具放在电芯上方</t>
  </si>
  <si>
    <t>工具掉落造成正负极短路，瞬间起火灼伤人员</t>
  </si>
  <si>
    <t>划定禁放区；工具定置管理；严禁金属物跨接电极</t>
  </si>
  <si>
    <t>设备夹具夹手、挤压</t>
  </si>
  <si>
    <t>加装安全光栅、双手启动按钮；急停装置灵敏可靠</t>
  </si>
  <si>
    <t>电解液泄漏、飞溅</t>
  </si>
  <si>
    <t>注液车间</t>
  </si>
  <si>
    <t>皮肤腐蚀灼伤、眼睛化学烧伤；吸入有毒蒸气中毒</t>
  </si>
  <si>
    <t>佩戴防化手套、护目镜；局部抽风；配备洗眼器；防泄漏托盘</t>
  </si>
  <si>
    <t>电解液遇水反应产生有毒 / 可燃气体</t>
  </si>
  <si>
    <t>气体积聚中毒、遇火源爆燃</t>
  </si>
  <si>
    <t>严格控制环境湿度；禁止用水冲洗电解液；氮气保护</t>
  </si>
  <si>
    <t>注液量不准确、密封不良</t>
  </si>
  <si>
    <t>电芯性能劣化、鼓包、后期热失控起火</t>
  </si>
  <si>
    <t>自动注液校准；密封检测；氦检 / 负压检漏。</t>
  </si>
  <si>
    <t>注液后周转过程中倾倒、碰撞</t>
  </si>
  <si>
    <t>电解液泄漏、壳体破裂、内部短路起火</t>
  </si>
  <si>
    <t>专用防倒料框；规范转运；禁止堆叠挤压</t>
  </si>
  <si>
    <t>电芯首次充电发生热失控</t>
  </si>
  <si>
    <t>化成车间</t>
  </si>
  <si>
    <t>起火、爆炸、喷射火焰，引燃周边电芯连环爆炸</t>
  </si>
  <si>
    <t>化成柜防爆设计；独立防爆箱；烟雾 / 温度报警；自动断电</t>
  </si>
  <si>
    <t>化成柜通风不良，热量积聚</t>
  </si>
  <si>
    <t>环境温度升高，诱发更多电芯热失控蔓延</t>
  </si>
  <si>
    <t>强制通风散热；温度在线监测；超温联锁停机</t>
  </si>
  <si>
    <t>电芯过充、夹具接触不良打火</t>
  </si>
  <si>
    <t>内部短路、起火、爆炸</t>
  </si>
  <si>
    <t>BMS 精准控充；电流电压监控；接触不良自动报警</t>
  </si>
  <si>
    <t>异常电芯未及时剔除，混入良品</t>
  </si>
  <si>
    <t>后续使用中突然起火，引发安全事故</t>
  </si>
  <si>
    <t>电压 / 温度曲线全检；AI 异常识别；不合格品隔离销毁。</t>
  </si>
  <si>
    <t>分容测试中电芯内部短路发热</t>
  </si>
  <si>
    <t>分容车间</t>
  </si>
  <si>
    <t>电芯鼓包、起火、引燃相邻电芯</t>
  </si>
  <si>
    <t>分容柜温控监测；超温报警；自动断电；防火隔板</t>
  </si>
  <si>
    <t>电芯混档、错接、反接</t>
  </si>
  <si>
    <t>充放电异常发热，引发热失控</t>
  </si>
  <si>
    <t>扫码防错系统；规范接线；专人复核</t>
  </si>
  <si>
    <t>测试线缆老化、破皮短路</t>
  </si>
  <si>
    <t>打火、起火、灼伤操作人员</t>
  </si>
  <si>
    <t>定期巡检线缆；破损立即更换；规范走线。</t>
  </si>
  <si>
    <t>老化测试时间过长、温度过高</t>
  </si>
  <si>
    <t>电芯性能衰减、鼓包、起火</t>
  </si>
  <si>
    <t>定时停机；环境温控；异常自动终止测试。</t>
  </si>
  <si>
    <t>电芯拼接时极耳错位、短路，汇流排焊接打火</t>
  </si>
  <si>
    <t>模组装配车间</t>
  </si>
  <si>
    <t>模组内部短路，发热、鼓包，后续使用中起火、爆炸；焊接火花引燃周边粉尘</t>
  </si>
  <si>
    <t>视觉定位校准极耳；焊接区域隔离、除尘；配备灭火器；焊后检测短路情况。</t>
  </si>
  <si>
    <t>模组搬运、堆叠时挤压、碰撞，外壳变形</t>
  </si>
  <si>
    <t>内部电芯破损、隔膜断裂，引发热失控；操作人员被砸伤</t>
  </si>
  <si>
    <t>专用搬运工装；禁止超高堆叠；轻拿轻放；划定安全搬运区域</t>
  </si>
  <si>
    <t>模组装入电池包时，线束挤压、破损，高压短路</t>
  </si>
  <si>
    <t>PACK总装车间</t>
  </si>
  <si>
    <t>高压打火、起火，灼伤人员；电池包损毁</t>
  </si>
  <si>
    <t>线束固定牢固、加装防护套；装配时专人监护；检测线束绝缘性能。</t>
  </si>
  <si>
    <t>BMS 接线错误、接触不良</t>
  </si>
  <si>
    <t>电池包充放电异常，过充、过放诱发热失控；测试时数据异常，误导判断</t>
  </si>
  <si>
    <t>扫码防错接线；接线后双人复核；通电前检测 BMS 通信状态。</t>
  </si>
  <si>
    <t>高压气密性测试时，电池包泄漏、高压触电</t>
  </si>
  <si>
    <t>电池包测试车间</t>
  </si>
  <si>
    <t>电解液泄漏腐蚀、中毒；人员高压触电伤亡；泄漏气体遇火源爆燃</t>
  </si>
  <si>
    <t>测试区域隔离、接地；佩戴绝缘防护用具；设置高压报警、紧急断电装置。</t>
  </si>
  <si>
    <t>安全测试（针刺、挤压）时，电池包热失控</t>
  </si>
  <si>
    <t>起火、爆炸、喷射火焰，灼伤人员，引燃测试设备</t>
  </si>
  <si>
    <t>测试在防爆测试舱内进行；配备专用灭火系统；测试人员远离测试区域。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</si>
</sst>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2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topLeftCell="B5" workbookViewId="0">
      <selection activeCell="H26" sqref="H26"/>
    </sheetView>
  </sheetViews>
  <sheetFormatPr defaultColWidth="9" defaultRowHeight="13.85"/>
  <cols>
    <col min="1" max="1" width="63.0530973451327" customWidth="1"/>
    <col min="2" max="2" width="15.6283185840708" customWidth="1"/>
    <col min="3" max="3" width="47.9557522123894" customWidth="1"/>
    <col min="6" max="6" width="81.3805309734513" customWidth="1"/>
    <col min="9" max="9" width="8.1061946902654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f t="shared" ref="D2:D14" si="0">G2*H2*I2</f>
        <v>90</v>
      </c>
      <c r="E2" t="str">
        <f>IF(D2&lt;=60,"低风险",IF(D2&lt;=120,"一般风险",IF(D2&lt;=360,"高度风险","重大风险")))</f>
        <v>一般风险</v>
      </c>
      <c r="F2" t="s">
        <v>12</v>
      </c>
      <c r="G2">
        <v>3</v>
      </c>
      <c r="H2">
        <v>6</v>
      </c>
      <c r="I2">
        <v>5</v>
      </c>
    </row>
    <row r="3" spans="1:9">
      <c r="A3" t="s">
        <v>13</v>
      </c>
      <c r="B3" t="s">
        <v>10</v>
      </c>
      <c r="C3" t="s">
        <v>14</v>
      </c>
      <c r="D3">
        <f t="shared" si="0"/>
        <v>336</v>
      </c>
      <c r="E3" t="str">
        <f>IF(D3&lt;=60,"低风险",IF(D3&lt;=120,"一般风险",IF(D3&lt;=360,"高度风险","重大风险")))</f>
        <v>高度风险</v>
      </c>
      <c r="F3" t="s">
        <v>15</v>
      </c>
      <c r="G3">
        <v>6</v>
      </c>
      <c r="H3">
        <v>8</v>
      </c>
      <c r="I3">
        <v>7</v>
      </c>
    </row>
    <row r="4" spans="1:9">
      <c r="A4" t="s">
        <v>16</v>
      </c>
      <c r="B4" t="s">
        <v>10</v>
      </c>
      <c r="C4" t="s">
        <v>17</v>
      </c>
      <c r="D4">
        <f t="shared" si="0"/>
        <v>252</v>
      </c>
      <c r="E4" t="str">
        <f t="shared" ref="E4:E43" si="1">IF(D4&lt;=60,"低风险",IF(D4&lt;=120,"一般风险",IF(D4&lt;=360,"高度风险","重大风险")))</f>
        <v>高度风险</v>
      </c>
      <c r="F4" t="s">
        <v>18</v>
      </c>
      <c r="G4">
        <v>6</v>
      </c>
      <c r="H4">
        <v>6</v>
      </c>
      <c r="I4">
        <v>7</v>
      </c>
    </row>
    <row r="5" spans="1:9">
      <c r="A5" t="s">
        <v>19</v>
      </c>
      <c r="B5" t="s">
        <v>10</v>
      </c>
      <c r="C5" t="s">
        <v>20</v>
      </c>
      <c r="D5">
        <f t="shared" si="0"/>
        <v>60</v>
      </c>
      <c r="E5" t="str">
        <f t="shared" si="1"/>
        <v>低风险</v>
      </c>
      <c r="F5" t="s">
        <v>21</v>
      </c>
      <c r="G5">
        <v>3</v>
      </c>
      <c r="H5">
        <v>5</v>
      </c>
      <c r="I5">
        <v>4</v>
      </c>
    </row>
    <row r="6" spans="1:9">
      <c r="A6" t="s">
        <v>22</v>
      </c>
      <c r="B6" t="s">
        <v>23</v>
      </c>
      <c r="C6" t="s">
        <v>24</v>
      </c>
      <c r="D6">
        <f t="shared" si="0"/>
        <v>96</v>
      </c>
      <c r="E6" t="str">
        <f t="shared" si="1"/>
        <v>一般风险</v>
      </c>
      <c r="F6" t="s">
        <v>25</v>
      </c>
      <c r="G6">
        <v>4</v>
      </c>
      <c r="H6">
        <v>6</v>
      </c>
      <c r="I6">
        <v>4</v>
      </c>
    </row>
    <row r="7" spans="1:9">
      <c r="A7" t="s">
        <v>26</v>
      </c>
      <c r="B7" t="s">
        <v>23</v>
      </c>
      <c r="C7" t="s">
        <v>27</v>
      </c>
      <c r="D7">
        <f t="shared" si="0"/>
        <v>252</v>
      </c>
      <c r="E7" t="str">
        <f t="shared" si="1"/>
        <v>高度风险</v>
      </c>
      <c r="F7" t="s">
        <v>28</v>
      </c>
      <c r="G7">
        <v>6</v>
      </c>
      <c r="H7">
        <v>6</v>
      </c>
      <c r="I7">
        <v>7</v>
      </c>
    </row>
    <row r="8" spans="1:9">
      <c r="A8" t="s">
        <v>29</v>
      </c>
      <c r="B8" t="s">
        <v>23</v>
      </c>
      <c r="C8" t="s">
        <v>30</v>
      </c>
      <c r="D8">
        <f t="shared" si="0"/>
        <v>96</v>
      </c>
      <c r="E8" t="str">
        <f t="shared" si="1"/>
        <v>一般风险</v>
      </c>
      <c r="F8" t="s">
        <v>31</v>
      </c>
      <c r="G8">
        <v>2</v>
      </c>
      <c r="H8">
        <v>6</v>
      </c>
      <c r="I8">
        <v>8</v>
      </c>
    </row>
    <row r="9" spans="1:9">
      <c r="A9" t="s">
        <v>32</v>
      </c>
      <c r="B9" t="s">
        <v>23</v>
      </c>
      <c r="C9" t="s">
        <v>33</v>
      </c>
      <c r="D9">
        <f t="shared" si="0"/>
        <v>210</v>
      </c>
      <c r="E9" t="str">
        <f t="shared" si="1"/>
        <v>高度风险</v>
      </c>
      <c r="F9" t="s">
        <v>34</v>
      </c>
      <c r="G9">
        <v>5</v>
      </c>
      <c r="H9">
        <v>6</v>
      </c>
      <c r="I9">
        <v>7</v>
      </c>
    </row>
    <row r="10" spans="1:9">
      <c r="A10" t="s">
        <v>35</v>
      </c>
      <c r="B10" t="s">
        <v>36</v>
      </c>
      <c r="C10" t="s">
        <v>37</v>
      </c>
      <c r="D10">
        <f t="shared" si="0"/>
        <v>126</v>
      </c>
      <c r="E10" t="str">
        <f t="shared" si="1"/>
        <v>高度风险</v>
      </c>
      <c r="F10" t="s">
        <v>38</v>
      </c>
      <c r="G10">
        <v>3</v>
      </c>
      <c r="H10">
        <v>6</v>
      </c>
      <c r="I10">
        <v>7</v>
      </c>
    </row>
    <row r="11" spans="1:9">
      <c r="A11" t="s">
        <v>39</v>
      </c>
      <c r="B11" t="s">
        <v>36</v>
      </c>
      <c r="C11" t="s">
        <v>40</v>
      </c>
      <c r="D11">
        <f t="shared" si="0"/>
        <v>54</v>
      </c>
      <c r="E11" t="str">
        <f t="shared" si="1"/>
        <v>低风险</v>
      </c>
      <c r="F11" t="s">
        <v>41</v>
      </c>
      <c r="G11">
        <v>3</v>
      </c>
      <c r="H11">
        <v>6</v>
      </c>
      <c r="I11">
        <v>3</v>
      </c>
    </row>
    <row r="12" spans="1:9">
      <c r="A12" t="s">
        <v>42</v>
      </c>
      <c r="B12" t="s">
        <v>36</v>
      </c>
      <c r="C12" t="s">
        <v>43</v>
      </c>
      <c r="D12">
        <f t="shared" si="0"/>
        <v>336</v>
      </c>
      <c r="E12" t="str">
        <f t="shared" si="1"/>
        <v>高度风险</v>
      </c>
      <c r="F12" t="s">
        <v>44</v>
      </c>
      <c r="G12">
        <v>8</v>
      </c>
      <c r="H12">
        <v>6</v>
      </c>
      <c r="I12">
        <v>7</v>
      </c>
    </row>
    <row r="13" spans="1:9">
      <c r="A13" t="s">
        <v>45</v>
      </c>
      <c r="B13" t="s">
        <v>36</v>
      </c>
      <c r="C13" t="s">
        <v>46</v>
      </c>
      <c r="D13">
        <f t="shared" si="0"/>
        <v>72</v>
      </c>
      <c r="E13" t="str">
        <f t="shared" si="1"/>
        <v>一般风险</v>
      </c>
      <c r="F13" t="s">
        <v>47</v>
      </c>
      <c r="G13">
        <v>4</v>
      </c>
      <c r="H13">
        <v>6</v>
      </c>
      <c r="I13">
        <v>3</v>
      </c>
    </row>
    <row r="14" spans="1:9">
      <c r="A14" t="s">
        <v>48</v>
      </c>
      <c r="B14" t="s">
        <v>49</v>
      </c>
      <c r="C14" t="s">
        <v>50</v>
      </c>
      <c r="D14">
        <f t="shared" si="0"/>
        <v>126</v>
      </c>
      <c r="E14" t="str">
        <f t="shared" si="1"/>
        <v>高度风险</v>
      </c>
      <c r="F14" t="s">
        <v>51</v>
      </c>
      <c r="G14">
        <v>3</v>
      </c>
      <c r="H14">
        <v>6</v>
      </c>
      <c r="I14">
        <v>7</v>
      </c>
    </row>
    <row r="15" spans="1:9">
      <c r="A15" t="s">
        <v>52</v>
      </c>
      <c r="B15" t="s">
        <v>49</v>
      </c>
      <c r="C15" t="s">
        <v>53</v>
      </c>
      <c r="D15">
        <f t="shared" ref="D15:D46" si="2">G15*H15*I15</f>
        <v>48</v>
      </c>
      <c r="E15" t="str">
        <f t="shared" si="1"/>
        <v>低风险</v>
      </c>
      <c r="F15" t="s">
        <v>54</v>
      </c>
      <c r="G15">
        <v>4</v>
      </c>
      <c r="H15">
        <v>6</v>
      </c>
      <c r="I15">
        <v>2</v>
      </c>
    </row>
    <row r="16" spans="1:9">
      <c r="A16" t="s">
        <v>55</v>
      </c>
      <c r="B16" t="s">
        <v>49</v>
      </c>
      <c r="C16" t="s">
        <v>56</v>
      </c>
      <c r="D16">
        <f t="shared" si="2"/>
        <v>36</v>
      </c>
      <c r="E16" t="str">
        <f t="shared" si="1"/>
        <v>低风险</v>
      </c>
      <c r="F16" t="s">
        <v>57</v>
      </c>
      <c r="G16">
        <v>2</v>
      </c>
      <c r="H16">
        <v>6</v>
      </c>
      <c r="I16">
        <v>3</v>
      </c>
    </row>
    <row r="17" spans="1:9">
      <c r="A17" t="s">
        <v>58</v>
      </c>
      <c r="B17" t="s">
        <v>49</v>
      </c>
      <c r="C17" t="s">
        <v>59</v>
      </c>
      <c r="D17">
        <f t="shared" si="2"/>
        <v>84</v>
      </c>
      <c r="E17" t="str">
        <f t="shared" si="1"/>
        <v>一般风险</v>
      </c>
      <c r="F17" t="s">
        <v>60</v>
      </c>
      <c r="G17">
        <v>2</v>
      </c>
      <c r="H17">
        <v>6</v>
      </c>
      <c r="I17">
        <v>7</v>
      </c>
    </row>
    <row r="18" spans="1:9">
      <c r="A18" t="s">
        <v>61</v>
      </c>
      <c r="B18" t="s">
        <v>62</v>
      </c>
      <c r="C18" t="s">
        <v>63</v>
      </c>
      <c r="D18">
        <f t="shared" si="2"/>
        <v>144</v>
      </c>
      <c r="E18" t="str">
        <f t="shared" si="1"/>
        <v>高度风险</v>
      </c>
      <c r="F18" t="s">
        <v>64</v>
      </c>
      <c r="G18">
        <v>3</v>
      </c>
      <c r="H18">
        <v>6</v>
      </c>
      <c r="I18">
        <v>8</v>
      </c>
    </row>
    <row r="19" spans="1:9">
      <c r="A19" t="s">
        <v>65</v>
      </c>
      <c r="B19" t="s">
        <v>62</v>
      </c>
      <c r="C19" t="s">
        <v>66</v>
      </c>
      <c r="D19">
        <f t="shared" si="2"/>
        <v>84</v>
      </c>
      <c r="E19" t="str">
        <f t="shared" si="1"/>
        <v>一般风险</v>
      </c>
      <c r="F19" t="s">
        <v>67</v>
      </c>
      <c r="G19">
        <v>2</v>
      </c>
      <c r="H19">
        <v>6</v>
      </c>
      <c r="I19">
        <v>7</v>
      </c>
    </row>
    <row r="20" spans="1:9">
      <c r="A20" t="s">
        <v>68</v>
      </c>
      <c r="B20" t="s">
        <v>62</v>
      </c>
      <c r="C20" t="s">
        <v>69</v>
      </c>
      <c r="D20">
        <f t="shared" si="2"/>
        <v>144</v>
      </c>
      <c r="E20" t="str">
        <f t="shared" si="1"/>
        <v>高度风险</v>
      </c>
      <c r="F20" t="s">
        <v>70</v>
      </c>
      <c r="G20">
        <v>3</v>
      </c>
      <c r="H20">
        <v>6</v>
      </c>
      <c r="I20">
        <v>8</v>
      </c>
    </row>
    <row r="21" spans="1:9">
      <c r="A21" t="s">
        <v>71</v>
      </c>
      <c r="B21" t="s">
        <v>62</v>
      </c>
      <c r="C21" t="s">
        <v>72</v>
      </c>
      <c r="D21">
        <f t="shared" si="2"/>
        <v>96</v>
      </c>
      <c r="E21" t="str">
        <f t="shared" si="1"/>
        <v>一般风险</v>
      </c>
      <c r="F21" t="s">
        <v>73</v>
      </c>
      <c r="G21">
        <v>4</v>
      </c>
      <c r="H21">
        <v>6</v>
      </c>
      <c r="I21">
        <v>4</v>
      </c>
    </row>
    <row r="22" ht="18.75" spans="1:9">
      <c r="A22" s="1" t="s">
        <v>74</v>
      </c>
      <c r="B22" t="s">
        <v>75</v>
      </c>
      <c r="C22" s="1" t="s">
        <v>76</v>
      </c>
      <c r="D22">
        <f t="shared" si="2"/>
        <v>144</v>
      </c>
      <c r="E22" t="str">
        <f t="shared" si="1"/>
        <v>高度风险</v>
      </c>
      <c r="F22" s="1" t="s">
        <v>77</v>
      </c>
      <c r="G22">
        <v>3</v>
      </c>
      <c r="H22">
        <v>6</v>
      </c>
      <c r="I22">
        <v>8</v>
      </c>
    </row>
    <row r="23" ht="18.75" spans="1:9">
      <c r="A23" s="1" t="s">
        <v>78</v>
      </c>
      <c r="B23" t="s">
        <v>75</v>
      </c>
      <c r="C23" s="1" t="s">
        <v>79</v>
      </c>
      <c r="D23">
        <f t="shared" si="2"/>
        <v>144</v>
      </c>
      <c r="E23" t="str">
        <f t="shared" si="1"/>
        <v>高度风险</v>
      </c>
      <c r="F23" s="1" t="s">
        <v>80</v>
      </c>
      <c r="G23">
        <v>3</v>
      </c>
      <c r="H23">
        <v>6</v>
      </c>
      <c r="I23">
        <v>8</v>
      </c>
    </row>
    <row r="24" ht="18.75" spans="1:9">
      <c r="A24" s="1" t="s">
        <v>81</v>
      </c>
      <c r="B24" t="s">
        <v>75</v>
      </c>
      <c r="C24" s="1" t="s">
        <v>82</v>
      </c>
      <c r="D24">
        <f t="shared" si="2"/>
        <v>84</v>
      </c>
      <c r="E24" t="str">
        <f t="shared" si="1"/>
        <v>一般风险</v>
      </c>
      <c r="F24" s="1" t="s">
        <v>83</v>
      </c>
      <c r="G24">
        <v>2</v>
      </c>
      <c r="H24">
        <v>6</v>
      </c>
      <c r="I24">
        <v>7</v>
      </c>
    </row>
    <row r="25" ht="18.75" spans="1:9">
      <c r="A25" s="1" t="s">
        <v>84</v>
      </c>
      <c r="B25" t="s">
        <v>75</v>
      </c>
      <c r="C25" s="1" t="s">
        <v>66</v>
      </c>
      <c r="D25">
        <f t="shared" si="2"/>
        <v>72</v>
      </c>
      <c r="E25" t="str">
        <f t="shared" si="1"/>
        <v>一般风险</v>
      </c>
      <c r="F25" s="1" t="s">
        <v>85</v>
      </c>
      <c r="G25">
        <v>3</v>
      </c>
      <c r="H25">
        <v>6</v>
      </c>
      <c r="I25">
        <v>4</v>
      </c>
    </row>
    <row r="26" ht="18.75" spans="1:9">
      <c r="A26" s="1" t="s">
        <v>86</v>
      </c>
      <c r="B26" t="s">
        <v>87</v>
      </c>
      <c r="C26" s="1" t="s">
        <v>88</v>
      </c>
      <c r="D26">
        <f t="shared" si="2"/>
        <v>378</v>
      </c>
      <c r="E26" t="str">
        <f t="shared" si="1"/>
        <v>重大风险</v>
      </c>
      <c r="F26" s="1" t="s">
        <v>89</v>
      </c>
      <c r="G26">
        <v>9</v>
      </c>
      <c r="H26">
        <v>6</v>
      </c>
      <c r="I26">
        <v>7</v>
      </c>
    </row>
    <row r="27" ht="18.75" spans="1:9">
      <c r="A27" s="1" t="s">
        <v>90</v>
      </c>
      <c r="B27" t="s">
        <v>87</v>
      </c>
      <c r="C27" s="1" t="s">
        <v>91</v>
      </c>
      <c r="D27">
        <f t="shared" si="2"/>
        <v>96</v>
      </c>
      <c r="E27" t="str">
        <f t="shared" si="1"/>
        <v>一般风险</v>
      </c>
      <c r="F27" s="1" t="s">
        <v>92</v>
      </c>
      <c r="G27">
        <v>2</v>
      </c>
      <c r="H27">
        <v>6</v>
      </c>
      <c r="I27">
        <v>8</v>
      </c>
    </row>
    <row r="28" ht="18.75" spans="1:9">
      <c r="A28" s="1" t="s">
        <v>93</v>
      </c>
      <c r="B28" t="s">
        <v>87</v>
      </c>
      <c r="C28" s="1" t="s">
        <v>94</v>
      </c>
      <c r="D28">
        <f t="shared" si="2"/>
        <v>144</v>
      </c>
      <c r="E28" t="str">
        <f t="shared" si="1"/>
        <v>高度风险</v>
      </c>
      <c r="F28" s="1" t="s">
        <v>95</v>
      </c>
      <c r="G28">
        <v>3</v>
      </c>
      <c r="H28">
        <v>6</v>
      </c>
      <c r="I28">
        <v>8</v>
      </c>
    </row>
    <row r="29" ht="18.75" spans="1:9">
      <c r="A29" s="1" t="s">
        <v>96</v>
      </c>
      <c r="B29" t="s">
        <v>87</v>
      </c>
      <c r="C29" s="1" t="s">
        <v>97</v>
      </c>
      <c r="D29">
        <f t="shared" si="2"/>
        <v>126</v>
      </c>
      <c r="E29" t="str">
        <f t="shared" si="1"/>
        <v>高度风险</v>
      </c>
      <c r="F29" s="1" t="s">
        <v>98</v>
      </c>
      <c r="G29">
        <v>3</v>
      </c>
      <c r="H29">
        <v>6</v>
      </c>
      <c r="I29">
        <v>7</v>
      </c>
    </row>
    <row r="30" ht="18.75" spans="1:9">
      <c r="A30" s="1" t="s">
        <v>99</v>
      </c>
      <c r="B30" t="s">
        <v>100</v>
      </c>
      <c r="C30" s="1" t="s">
        <v>101</v>
      </c>
      <c r="D30">
        <f t="shared" si="2"/>
        <v>432</v>
      </c>
      <c r="E30" t="str">
        <f t="shared" si="1"/>
        <v>重大风险</v>
      </c>
      <c r="F30" s="1" t="s">
        <v>102</v>
      </c>
      <c r="G30">
        <v>8</v>
      </c>
      <c r="H30">
        <v>6</v>
      </c>
      <c r="I30">
        <v>9</v>
      </c>
    </row>
    <row r="31" ht="18.75" spans="1:9">
      <c r="A31" s="1" t="s">
        <v>103</v>
      </c>
      <c r="B31" t="s">
        <v>100</v>
      </c>
      <c r="C31" s="1" t="s">
        <v>104</v>
      </c>
      <c r="D31">
        <f t="shared" si="2"/>
        <v>480</v>
      </c>
      <c r="E31" t="str">
        <f t="shared" si="1"/>
        <v>重大风险</v>
      </c>
      <c r="F31" s="1" t="s">
        <v>105</v>
      </c>
      <c r="G31">
        <v>8</v>
      </c>
      <c r="H31">
        <v>6</v>
      </c>
      <c r="I31">
        <v>10</v>
      </c>
    </row>
    <row r="32" ht="18.75" spans="1:9">
      <c r="A32" s="1" t="s">
        <v>106</v>
      </c>
      <c r="B32" t="s">
        <v>100</v>
      </c>
      <c r="C32" s="1" t="s">
        <v>107</v>
      </c>
      <c r="D32">
        <f t="shared" si="2"/>
        <v>324</v>
      </c>
      <c r="E32" t="str">
        <f t="shared" si="1"/>
        <v>高度风险</v>
      </c>
      <c r="F32" s="1" t="s">
        <v>108</v>
      </c>
      <c r="G32">
        <v>6</v>
      </c>
      <c r="H32">
        <v>6</v>
      </c>
      <c r="I32">
        <v>9</v>
      </c>
    </row>
    <row r="33" ht="18.75" spans="1:9">
      <c r="A33" s="1" t="s">
        <v>109</v>
      </c>
      <c r="B33" t="s">
        <v>100</v>
      </c>
      <c r="C33" s="1" t="s">
        <v>110</v>
      </c>
      <c r="D33">
        <f t="shared" si="2"/>
        <v>288</v>
      </c>
      <c r="E33" t="str">
        <f t="shared" si="1"/>
        <v>高度风险</v>
      </c>
      <c r="F33" s="1" t="s">
        <v>111</v>
      </c>
      <c r="G33">
        <v>6</v>
      </c>
      <c r="H33">
        <v>6</v>
      </c>
      <c r="I33">
        <v>8</v>
      </c>
    </row>
    <row r="34" ht="18.75" spans="1:9">
      <c r="A34" s="1" t="s">
        <v>112</v>
      </c>
      <c r="B34" t="s">
        <v>113</v>
      </c>
      <c r="C34" s="1" t="s">
        <v>114</v>
      </c>
      <c r="D34">
        <f t="shared" si="2"/>
        <v>126</v>
      </c>
      <c r="E34" t="str">
        <f t="shared" si="1"/>
        <v>高度风险</v>
      </c>
      <c r="F34" s="1" t="s">
        <v>115</v>
      </c>
      <c r="G34">
        <v>3</v>
      </c>
      <c r="H34">
        <v>6</v>
      </c>
      <c r="I34">
        <v>7</v>
      </c>
    </row>
    <row r="35" ht="18.75" spans="1:9">
      <c r="A35" s="1" t="s">
        <v>116</v>
      </c>
      <c r="B35" t="s">
        <v>113</v>
      </c>
      <c r="C35" s="1" t="s">
        <v>117</v>
      </c>
      <c r="D35">
        <f t="shared" si="2"/>
        <v>72</v>
      </c>
      <c r="E35" t="str">
        <f t="shared" si="1"/>
        <v>一般风险</v>
      </c>
      <c r="F35" s="1" t="s">
        <v>118</v>
      </c>
      <c r="G35">
        <v>3</v>
      </c>
      <c r="H35">
        <v>6</v>
      </c>
      <c r="I35">
        <v>4</v>
      </c>
    </row>
    <row r="36" ht="18.75" spans="1:9">
      <c r="A36" s="1" t="s">
        <v>119</v>
      </c>
      <c r="B36" t="s">
        <v>113</v>
      </c>
      <c r="C36" s="1" t="s">
        <v>120</v>
      </c>
      <c r="D36">
        <f t="shared" si="2"/>
        <v>48</v>
      </c>
      <c r="E36" t="str">
        <f t="shared" si="1"/>
        <v>低风险</v>
      </c>
      <c r="F36" s="1" t="s">
        <v>121</v>
      </c>
      <c r="G36">
        <v>2</v>
      </c>
      <c r="H36">
        <v>6</v>
      </c>
      <c r="I36">
        <v>4</v>
      </c>
    </row>
    <row r="37" ht="18.75" spans="1:9">
      <c r="A37" s="1" t="s">
        <v>122</v>
      </c>
      <c r="B37" t="s">
        <v>113</v>
      </c>
      <c r="C37" s="1" t="s">
        <v>123</v>
      </c>
      <c r="D37">
        <f t="shared" si="2"/>
        <v>84</v>
      </c>
      <c r="E37" t="str">
        <f t="shared" si="1"/>
        <v>一般风险</v>
      </c>
      <c r="F37" s="1" t="s">
        <v>124</v>
      </c>
      <c r="G37">
        <v>2</v>
      </c>
      <c r="H37">
        <v>6</v>
      </c>
      <c r="I37">
        <v>7</v>
      </c>
    </row>
    <row r="38" ht="18.75" spans="1:9">
      <c r="A38" t="s">
        <v>125</v>
      </c>
      <c r="B38" t="s">
        <v>126</v>
      </c>
      <c r="C38" s="1" t="s">
        <v>127</v>
      </c>
      <c r="D38">
        <f t="shared" si="2"/>
        <v>144</v>
      </c>
      <c r="E38" t="str">
        <f t="shared" si="1"/>
        <v>高度风险</v>
      </c>
      <c r="F38" s="1" t="s">
        <v>128</v>
      </c>
      <c r="G38">
        <v>3</v>
      </c>
      <c r="H38">
        <v>6</v>
      </c>
      <c r="I38">
        <v>8</v>
      </c>
    </row>
    <row r="39" ht="18.75" spans="1:9">
      <c r="A39" s="1" t="s">
        <v>129</v>
      </c>
      <c r="B39" t="s">
        <v>126</v>
      </c>
      <c r="C39" s="1" t="s">
        <v>130</v>
      </c>
      <c r="D39">
        <f t="shared" si="2"/>
        <v>72</v>
      </c>
      <c r="E39" t="str">
        <f t="shared" si="1"/>
        <v>一般风险</v>
      </c>
      <c r="F39" s="1" t="s">
        <v>131</v>
      </c>
      <c r="G39">
        <v>3</v>
      </c>
      <c r="H39">
        <v>6</v>
      </c>
      <c r="I39">
        <v>4</v>
      </c>
    </row>
    <row r="40" ht="18.75" spans="1:9">
      <c r="A40" s="1" t="s">
        <v>132</v>
      </c>
      <c r="B40" t="s">
        <v>133</v>
      </c>
      <c r="C40" s="1" t="s">
        <v>134</v>
      </c>
      <c r="D40">
        <f t="shared" si="2"/>
        <v>144</v>
      </c>
      <c r="E40" t="str">
        <f t="shared" si="1"/>
        <v>高度风险</v>
      </c>
      <c r="F40" s="1" t="s">
        <v>135</v>
      </c>
      <c r="G40">
        <v>3</v>
      </c>
      <c r="H40">
        <v>6</v>
      </c>
      <c r="I40">
        <v>8</v>
      </c>
    </row>
    <row r="41" ht="18.75" spans="1:9">
      <c r="A41" s="1" t="s">
        <v>136</v>
      </c>
      <c r="B41" t="s">
        <v>133</v>
      </c>
      <c r="C41" s="1" t="s">
        <v>137</v>
      </c>
      <c r="D41">
        <f t="shared" si="2"/>
        <v>72</v>
      </c>
      <c r="E41" t="str">
        <f t="shared" si="1"/>
        <v>一般风险</v>
      </c>
      <c r="F41" s="1" t="s">
        <v>138</v>
      </c>
      <c r="G41">
        <v>3</v>
      </c>
      <c r="H41">
        <v>6</v>
      </c>
      <c r="I41">
        <v>4</v>
      </c>
    </row>
    <row r="42" ht="18.75" spans="1:9">
      <c r="A42" s="1" t="s">
        <v>139</v>
      </c>
      <c r="B42" t="s">
        <v>140</v>
      </c>
      <c r="C42" s="1" t="s">
        <v>141</v>
      </c>
      <c r="D42">
        <f t="shared" si="2"/>
        <v>96</v>
      </c>
      <c r="E42" t="str">
        <f t="shared" si="1"/>
        <v>一般风险</v>
      </c>
      <c r="F42" s="1" t="s">
        <v>142</v>
      </c>
      <c r="G42">
        <v>2</v>
      </c>
      <c r="H42">
        <v>6</v>
      </c>
      <c r="I42">
        <v>8</v>
      </c>
    </row>
    <row r="43" ht="18.75" spans="1:9">
      <c r="A43" s="1" t="s">
        <v>143</v>
      </c>
      <c r="B43" t="s">
        <v>140</v>
      </c>
      <c r="C43" s="1" t="s">
        <v>144</v>
      </c>
      <c r="D43">
        <f t="shared" si="2"/>
        <v>96</v>
      </c>
      <c r="E43" t="str">
        <f t="shared" si="1"/>
        <v>一般风险</v>
      </c>
      <c r="F43" s="1" t="s">
        <v>145</v>
      </c>
      <c r="G43">
        <v>2</v>
      </c>
      <c r="H43">
        <v>6</v>
      </c>
      <c r="I43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C5"/>
    </sheetView>
  </sheetViews>
  <sheetFormatPr defaultColWidth="9" defaultRowHeight="13.8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 z</dc:creator>
  <cp:lastModifiedBy>周佳鹿</cp:lastModifiedBy>
  <dcterms:created xsi:type="dcterms:W3CDTF">2026-04-13T12:26:00Z</dcterms:created>
  <dcterms:modified xsi:type="dcterms:W3CDTF">2026-04-25T06:43:08Z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43CEDABDF5574C12B03C1EDAAB0288B4_12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