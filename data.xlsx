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455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<sst xmlns="http://schemas.openxmlformats.org/spreadsheetml/2006/main" count="29" uniqueCount="25">
  <si>
    <t>电池工厂</t>
  </si>
  <si>
    <t>危险源</t>
  </si>
  <si>
    <t>可能后果</t>
  </si>
  <si>
    <t>D值</t>
  </si>
  <si>
    <t>危险等级</t>
  </si>
  <si>
    <t>控制措施</t>
  </si>
  <si>
    <t>L</t>
  </si>
  <si>
    <t>E</t>
  </si>
  <si>
    <t>C</t>
  </si>
  <si>
    <t>配料车间</t>
  </si>
  <si>
    <t>叉车等特种设备没有划线进行作业</t>
  </si>
  <si>
    <t>碰撞到原料或工作人员</t>
  </si>
  <si>
    <t>显著危险</t>
  </si>
  <si>
    <t>提前对叉车等特种设备的工作区域进行划线</t>
  </si>
  <si>
    <t>搅拌器旋转产生静电</t>
  </si>
  <si>
    <t>遇火产生爆炸</t>
  </si>
  <si>
    <t>高度危险</t>
  </si>
  <si>
    <t>明确禁火，对会产生静电设备进行接地处理并适当增加环境湿度</t>
  </si>
  <si>
    <t>材料粉尘在投卸料口泄露</t>
  </si>
  <si>
    <t>释放剧毒气体和可燃粉尘</t>
  </si>
  <si>
    <t>对投卸口采用气体浓度检测系统</t>
  </si>
  <si>
    <t>管道、罐体等设备表面温度偏高</t>
  </si>
  <si>
    <t>工人触碰引发烫伤</t>
  </si>
  <si>
    <t>一般危险</t>
  </si>
  <si>
    <t>使用虎纹线对设备周围进行划线处理，标明安全区域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</si>
</sst>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"/>
  <sheetViews>
    <sheetView tabSelected="1" workbookViewId="0">
      <selection activeCell="E5" sqref="E5"/>
    </sheetView>
  </sheetViews>
  <sheetFormatPr defaultColWidth="9" defaultRowHeight="13.85" outlineLevelRow="4"/>
  <cols>
    <col min="1" max="1" width="8.79646017699115" customWidth="1"/>
    <col min="2" max="2" width="38.5309734513274" customWidth="1"/>
    <col min="3" max="3" width="26.2035398230088" customWidth="1"/>
    <col min="6" max="6" width="57.8672566371681" customWidth="1"/>
    <col min="9" max="9" width="8.10619469026549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 t="s">
        <v>9</v>
      </c>
      <c r="B2" t="s">
        <v>10</v>
      </c>
      <c r="C2" t="s">
        <v>11</v>
      </c>
      <c r="D2">
        <f>G2*H2*I2</f>
        <v>90</v>
      </c>
      <c r="E2" t="s">
        <v>12</v>
      </c>
      <c r="F2" t="s">
        <v>13</v>
      </c>
      <c r="G2">
        <v>3</v>
      </c>
      <c r="H2">
        <v>6</v>
      </c>
      <c r="I2">
        <v>5</v>
      </c>
    </row>
    <row r="3" spans="1:9">
      <c r="A3" t="s">
        <v>9</v>
      </c>
      <c r="B3" t="s">
        <v>14</v>
      </c>
      <c r="C3" t="s">
        <v>15</v>
      </c>
      <c r="D3">
        <f>G3*H3*I3</f>
        <v>336</v>
      </c>
      <c r="E3" t="s">
        <v>16</v>
      </c>
      <c r="F3" t="s">
        <v>17</v>
      </c>
      <c r="G3">
        <v>6</v>
      </c>
      <c r="H3">
        <v>8</v>
      </c>
      <c r="I3">
        <v>7</v>
      </c>
    </row>
    <row r="4" spans="1:9">
      <c r="A4" t="s">
        <v>9</v>
      </c>
      <c r="B4" t="s">
        <v>18</v>
      </c>
      <c r="C4" t="s">
        <v>19</v>
      </c>
      <c r="D4">
        <f>G4*H4*I4</f>
        <v>252</v>
      </c>
      <c r="E4" t="s">
        <v>16</v>
      </c>
      <c r="F4" t="s">
        <v>20</v>
      </c>
      <c r="G4">
        <v>6</v>
      </c>
      <c r="H4">
        <v>6</v>
      </c>
      <c r="I4">
        <v>7</v>
      </c>
    </row>
    <row r="5" spans="1:9">
      <c r="A5" t="s">
        <v>9</v>
      </c>
      <c r="B5" t="s">
        <v>21</v>
      </c>
      <c r="C5" t="s">
        <v>22</v>
      </c>
      <c r="D5">
        <f>G5*H5*I5</f>
        <v>60</v>
      </c>
      <c r="E5" t="s">
        <v>23</v>
      </c>
      <c r="F5" t="s">
        <v>24</v>
      </c>
      <c r="G5">
        <v>3</v>
      </c>
      <c r="H5">
        <v>5</v>
      </c>
      <c r="I5">
        <v>4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:C5"/>
    </sheetView>
  </sheetViews>
  <sheetFormatPr defaultColWidth="9" defaultRowHeight="13.8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jl z</dc:creator>
  <cp:lastModifiedBy>周佳鹿</cp:lastModifiedBy>
  <dcterms:created xsi:type="dcterms:W3CDTF">2026-04-13T12:26:00Z</dcterms:created>
  <dcterms:modified xsi:type="dcterms:W3CDTF">2026-04-15T13:40:55Z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43CEDABDF5574C12B03C1EDAAB0288B4_12</vt:lpwstr>
  </property>
  <property fmtid="{D5CDD505-2E9C-101B-9397-08002B2CF9AE}" pid="3" name="KSOProductBuildVer">
    <vt:lpwstr>2052-12.1.0.25222</vt:lpwstr>
  </property>
  <property fmtid="{D5CDD505-2E9C-101B-9397-08002B2CF9AE}" pid="4" name="CalculationRule">
    <vt:i4>0</vt:i4>
  </property>
</Properties>
</file>